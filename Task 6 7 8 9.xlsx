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c1f960e52d45b64/Documents/Internova/Week 3/"/>
    </mc:Choice>
  </mc:AlternateContent>
  <xr:revisionPtr revIDLastSave="0" documentId="13_ncr:20001_{B8478CF9-C7F1-4424-89AC-3115C4080C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2" r:id="rId1"/>
    <sheet name="Employees" sheetId="3" r:id="rId2"/>
    <sheet name="Task 6" sheetId="4" r:id="rId3"/>
    <sheet name="Task 7" sheetId="5" r:id="rId4"/>
    <sheet name="Task 8" sheetId="8" r:id="rId5"/>
    <sheet name="Task 9" sheetId="9" r:id="rId6"/>
  </sheets>
  <definedNames>
    <definedName name="_xlnm._FilterDatabase" localSheetId="1" hidden="1">Employees!$A$1:$F$9</definedName>
    <definedName name="_xlnm._FilterDatabase" localSheetId="0" hidden="1">'Sales Data'!$A$1:$H$11</definedName>
    <definedName name="_xlnm._FilterDatabase" localSheetId="2" hidden="1">'Task 6'!$A$1:$E$7</definedName>
    <definedName name="_xlnm._FilterDatabase" localSheetId="3" hidden="1">'Task 7'!$A$1:$F$9</definedName>
  </definedNames>
  <calcPr calcId="191029"/>
  <pivotCaches>
    <pivotCache cacheId="7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8" l="1"/>
  <c r="J15" i="8"/>
  <c r="J14" i="8"/>
  <c r="J10" i="8"/>
  <c r="K10" i="8" s="1"/>
  <c r="L10" i="8" s="1"/>
  <c r="C17" i="5"/>
  <c r="C16" i="5"/>
  <c r="C15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E2" i="5"/>
  <c r="D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saini</author>
  </authors>
  <commentList>
    <comment ref="B15" authorId="0" shapeId="0" xr:uid="{1CB918F4-54FF-4B93-9A37-BDAB6251C9E5}">
      <text>
        <r>
          <rPr>
            <b/>
            <sz val="9"/>
            <color indexed="81"/>
            <rFont val="Tahoma"/>
            <charset val="1"/>
          </rPr>
          <t>Rahul saini: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<sst xmlns="http://schemas.openxmlformats.org/spreadsheetml/2006/main" count="278" uniqueCount="114">
  <si>
    <t>Order_ID</t>
  </si>
  <si>
    <t>Order_Date</t>
  </si>
  <si>
    <t>Customer_Name</t>
  </si>
  <si>
    <t>Product</t>
  </si>
  <si>
    <t>Quantity</t>
  </si>
  <si>
    <t>Unit_Price</t>
  </si>
  <si>
    <t>Total_Sales</t>
  </si>
  <si>
    <t>City</t>
  </si>
  <si>
    <t>Aarav Sharma</t>
  </si>
  <si>
    <t>Laptop</t>
  </si>
  <si>
    <t>Delhi</t>
  </si>
  <si>
    <t>Priya Verma</t>
  </si>
  <si>
    <t>Mouse</t>
  </si>
  <si>
    <t>Agra</t>
  </si>
  <si>
    <t>Rahul Singh</t>
  </si>
  <si>
    <t>Monitor</t>
  </si>
  <si>
    <t>Mathura</t>
  </si>
  <si>
    <t>Neha Gupta</t>
  </si>
  <si>
    <t>Keyboard</t>
  </si>
  <si>
    <t>Kabir Khan</t>
  </si>
  <si>
    <t>Isha Patel</t>
  </si>
  <si>
    <t>Chair</t>
  </si>
  <si>
    <t>Jaipur</t>
  </si>
  <si>
    <t>Rohan Das</t>
  </si>
  <si>
    <t>Meera Joshi</t>
  </si>
  <si>
    <t>Desk</t>
  </si>
  <si>
    <t>Employee_ID</t>
  </si>
  <si>
    <t>Employee_Name</t>
  </si>
  <si>
    <t>Department</t>
  </si>
  <si>
    <t>Salary</t>
  </si>
  <si>
    <t>Joining_Date</t>
  </si>
  <si>
    <t>Sales</t>
  </si>
  <si>
    <t>HR</t>
  </si>
  <si>
    <t>IT</t>
  </si>
  <si>
    <t>Finance</t>
  </si>
  <si>
    <t>Product_ID</t>
  </si>
  <si>
    <t>Product_Name</t>
  </si>
  <si>
    <t>Category</t>
  </si>
  <si>
    <t>Price</t>
  </si>
  <si>
    <t>Stock</t>
  </si>
  <si>
    <t>P101</t>
  </si>
  <si>
    <t>Electronics</t>
  </si>
  <si>
    <t>P102</t>
  </si>
  <si>
    <t>Accessories</t>
  </si>
  <si>
    <t>P103</t>
  </si>
  <si>
    <t>P104</t>
  </si>
  <si>
    <t>P105</t>
  </si>
  <si>
    <t>Furniture</t>
  </si>
  <si>
    <t>P106</t>
  </si>
  <si>
    <t>Salary_Status</t>
  </si>
  <si>
    <t>Sales_Orders_Count</t>
  </si>
  <si>
    <t>Sales_Total</t>
  </si>
  <si>
    <t>Function</t>
  </si>
  <si>
    <t>Purpose</t>
  </si>
  <si>
    <t>IF()</t>
  </si>
  <si>
    <t>Classifies salary as High or Standard.</t>
  </si>
  <si>
    <t>COUNTIF()</t>
  </si>
  <si>
    <t>Counts sales orders matching an employee name.</t>
  </si>
  <si>
    <t>SUMIF()</t>
  </si>
  <si>
    <t>Adds sales totals for matching employee names.</t>
  </si>
  <si>
    <t>Example</t>
  </si>
  <si>
    <t>Output</t>
  </si>
  <si>
    <t>IF(C2&gt;=20000,"Good","Average")</t>
  </si>
  <si>
    <t>COUNTIF(B2:B6,"IT")</t>
  </si>
  <si>
    <t>SUMIF(B2:B6,"IT",C2:C6)</t>
  </si>
  <si>
    <t>Rahul</t>
  </si>
  <si>
    <t>Priya</t>
  </si>
  <si>
    <t>Amit</t>
  </si>
  <si>
    <t>Neha</t>
  </si>
  <si>
    <t>Ravi</t>
  </si>
  <si>
    <t>Simran</t>
  </si>
  <si>
    <t>Marketing</t>
  </si>
  <si>
    <t>E101</t>
  </si>
  <si>
    <t>E102</t>
  </si>
  <si>
    <t>E103</t>
  </si>
  <si>
    <t>E104</t>
  </si>
  <si>
    <t>E105</t>
  </si>
  <si>
    <t>E106</t>
  </si>
  <si>
    <t>E107</t>
  </si>
  <si>
    <t>Karan</t>
  </si>
  <si>
    <t>E108</t>
  </si>
  <si>
    <t>Pooja</t>
  </si>
  <si>
    <t>E109</t>
  </si>
  <si>
    <t>Arjun</t>
  </si>
  <si>
    <t>E110</t>
  </si>
  <si>
    <t>Anjali</t>
  </si>
  <si>
    <t>E111</t>
  </si>
  <si>
    <t>Mohit</t>
  </si>
  <si>
    <t>E112</t>
  </si>
  <si>
    <t>Sneha</t>
  </si>
  <si>
    <t>E113</t>
  </si>
  <si>
    <t>Varun</t>
  </si>
  <si>
    <t>E114</t>
  </si>
  <si>
    <t>Komal</t>
  </si>
  <si>
    <t>E115</t>
  </si>
  <si>
    <t>Deepak</t>
  </si>
  <si>
    <t>E116</t>
  </si>
  <si>
    <t>Nisha</t>
  </si>
  <si>
    <t>E117</t>
  </si>
  <si>
    <t>Rohit</t>
  </si>
  <si>
    <t>E118</t>
  </si>
  <si>
    <t>Isha</t>
  </si>
  <si>
    <t>E119</t>
  </si>
  <si>
    <t>Manish</t>
  </si>
  <si>
    <t>E120</t>
  </si>
  <si>
    <t>Riya</t>
  </si>
  <si>
    <t>Emp_Id</t>
  </si>
  <si>
    <t>Emp_Name</t>
  </si>
  <si>
    <t>Dept</t>
  </si>
  <si>
    <t>VLOOKUP</t>
  </si>
  <si>
    <t>XLOOKUP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</si>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</sst>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7 8 9.xlsx]Task 9!PivotTable2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Wise Salary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9'!$L$6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9'!$K$7:$K$12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'Task 9'!$L$7:$L$12</c:f>
              <c:numCache>
                <c:formatCode>General</c:formatCode>
                <c:ptCount val="5"/>
                <c:pt idx="0">
                  <c:v>162000</c:v>
                </c:pt>
                <c:pt idx="1">
                  <c:v>114500</c:v>
                </c:pt>
                <c:pt idx="2">
                  <c:v>230000</c:v>
                </c:pt>
                <c:pt idx="3">
                  <c:v>92000</c:v>
                </c:pt>
                <c:pt idx="4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6-4997-9745-8D58BD8A1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949152"/>
        <c:axId val="518948192"/>
      </c:barChart>
      <c:catAx>
        <c:axId val="51894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48192"/>
        <c:crosses val="autoZero"/>
        <c:auto val="1"/>
        <c:lblAlgn val="ctr"/>
        <c:lblOffset val="100"/>
        <c:noMultiLvlLbl val="0"/>
      </c:catAx>
      <c:valAx>
        <c:axId val="5189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83820</xdr:colOff>
      <xdr:row>5</xdr:row>
      <xdr:rowOff>83820</xdr:rowOff>
    </xdr:from>
    <xdr:to>
      <xdr:col>19</xdr:col>
      <xdr:colOff>388620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F998B-E35C-49D6-4B76-7A56C69A1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saini" refreshedDate="46321.372581018521" createdVersion="8" refreshedVersion="8" minRefreshableVersion="3" recordCount="20" xr:uid="{EA1634F0-F7B9-4E02-9CB0-646892422427}">
  <cacheSource type="worksheet">
    <worksheetSource ref="A1:D21" sheet="Task 9"/>
  </cacheSource>
  <cacheFields count="4">
    <cacheField name="Employee_ID" numFmtId="0">
      <sharedItems count="20">
        <s v="E101"/>
        <s v="E102"/>
        <s v="E103"/>
        <s v="E104"/>
        <s v="E105"/>
        <s v="E106"/>
        <s v="E107"/>
        <s v="E108"/>
        <s v="E109"/>
        <s v="E110"/>
        <s v="E111"/>
        <s v="E112"/>
        <s v="E113"/>
        <s v="E114"/>
        <s v="E115"/>
        <s v="E116"/>
        <s v="E117"/>
        <s v="E118"/>
        <s v="E119"/>
        <s v="E120"/>
      </sharedItems>
    </cacheField>
    <cacheField name="Employee_Name" numFmtId="0">
      <sharedItems/>
    </cacheField>
    <cacheField name="Department" numFmtId="0">
      <sharedItems count="5">
        <s v="IT"/>
        <s v="HR"/>
        <s v="Sales"/>
        <s v="Finance"/>
        <s v="Marketing"/>
      </sharedItems>
    </cacheField>
    <cacheField name="Salary" numFmtId="0">
      <sharedItems containsSemiMixedTypes="0" containsString="0" containsNumber="1" containsInteger="1" minValue="26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Rahul"/>
    <x v="0"/>
    <n v="35000"/>
  </r>
  <r>
    <x v="1"/>
    <s v="Priya"/>
    <x v="1"/>
    <n v="28000"/>
  </r>
  <r>
    <x v="2"/>
    <s v="Amit"/>
    <x v="2"/>
    <n v="32000"/>
  </r>
  <r>
    <x v="3"/>
    <s v="Neha"/>
    <x v="3"/>
    <n v="40000"/>
  </r>
  <r>
    <x v="4"/>
    <s v="Ravi"/>
    <x v="0"/>
    <n v="45000"/>
  </r>
  <r>
    <x v="5"/>
    <s v="Simran"/>
    <x v="4"/>
    <n v="30000"/>
  </r>
  <r>
    <x v="6"/>
    <s v="Karan"/>
    <x v="2"/>
    <n v="27000"/>
  </r>
  <r>
    <x v="7"/>
    <s v="Pooja"/>
    <x v="1"/>
    <n v="31000"/>
  </r>
  <r>
    <x v="8"/>
    <s v="Arjun"/>
    <x v="0"/>
    <n v="50000"/>
  </r>
  <r>
    <x v="9"/>
    <s v="Anjali"/>
    <x v="3"/>
    <n v="42000"/>
  </r>
  <r>
    <x v="10"/>
    <s v="Mohit"/>
    <x v="4"/>
    <n v="29000"/>
  </r>
  <r>
    <x v="11"/>
    <s v="Sneha"/>
    <x v="2"/>
    <n v="36000"/>
  </r>
  <r>
    <x v="12"/>
    <s v="Varun"/>
    <x v="0"/>
    <n v="48000"/>
  </r>
  <r>
    <x v="13"/>
    <s v="Komal"/>
    <x v="1"/>
    <n v="26000"/>
  </r>
  <r>
    <x v="14"/>
    <s v="Deepak"/>
    <x v="3"/>
    <n v="39000"/>
  </r>
  <r>
    <x v="15"/>
    <s v="Nisha"/>
    <x v="4"/>
    <n v="33000"/>
  </r>
  <r>
    <x v="16"/>
    <s v="Rohit"/>
    <x v="2"/>
    <n v="37000"/>
  </r>
  <r>
    <x v="17"/>
    <s v="Isha"/>
    <x v="0"/>
    <n v="52000"/>
  </r>
  <r>
    <x v="18"/>
    <s v="Manish"/>
    <x v="3"/>
    <n v="41000"/>
  </r>
  <r>
    <x v="19"/>
    <s v="Riya"/>
    <x v="1"/>
    <n v="2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02A88-C9DE-4C6C-BD2F-5E5B59CEA05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6:L12" firstHeaderRow="1" firstDataRow="1" firstDataCol="1"/>
  <pivotFields count="4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B429B-0AEB-43B9-98A4-58C8ADCEFE05}" name="Table1" displayName="Table1" ref="A14:C14" headerRowCount="0" totalsRowShown="0">
  <tableColumns count="3">
    <tableColumn id="1" xr3:uid="{5417DCF6-78B1-4833-8A98-2F1FD1EAAEDB}" name="Column1"/>
    <tableColumn id="2" xr3:uid="{1863AC36-BAEA-4F39-BF78-6685C18E331A}" name="Column2"/>
    <tableColumn id="3" xr3:uid="{BD1DBCA8-A4B1-4010-9F27-F1D10D2B49D6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22" customWidth="1"/>
    <col min="4" max="4" width="16" customWidth="1"/>
    <col min="5" max="5" width="12" customWidth="1"/>
    <col min="6" max="6" width="15" customWidth="1"/>
    <col min="7" max="7" width="16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46025</v>
      </c>
      <c r="C2" t="s">
        <v>8</v>
      </c>
      <c r="D2" t="s">
        <v>9</v>
      </c>
      <c r="E2">
        <v>1</v>
      </c>
      <c r="F2" s="3">
        <v>55000</v>
      </c>
      <c r="G2" s="3">
        <v>55000</v>
      </c>
      <c r="H2" t="s">
        <v>10</v>
      </c>
    </row>
    <row r="3" spans="1:8" x14ac:dyDescent="0.3">
      <c r="A3">
        <v>2</v>
      </c>
      <c r="B3" s="2">
        <v>46029</v>
      </c>
      <c r="C3" t="s">
        <v>11</v>
      </c>
      <c r="D3" t="s">
        <v>12</v>
      </c>
      <c r="E3">
        <v>3</v>
      </c>
      <c r="F3" s="3">
        <v>2100</v>
      </c>
      <c r="G3" s="3">
        <v>2100</v>
      </c>
      <c r="H3" t="s">
        <v>13</v>
      </c>
    </row>
    <row r="4" spans="1:8" x14ac:dyDescent="0.3">
      <c r="A4">
        <v>3</v>
      </c>
      <c r="B4" s="2">
        <v>46037</v>
      </c>
      <c r="C4" t="s">
        <v>14</v>
      </c>
      <c r="D4" t="s">
        <v>15</v>
      </c>
      <c r="E4">
        <v>2</v>
      </c>
      <c r="F4" s="3">
        <v>24000</v>
      </c>
      <c r="G4" s="3">
        <v>24000</v>
      </c>
      <c r="H4" t="s">
        <v>16</v>
      </c>
    </row>
    <row r="5" spans="1:8" x14ac:dyDescent="0.3">
      <c r="A5">
        <v>4</v>
      </c>
      <c r="B5" s="2">
        <v>46055</v>
      </c>
      <c r="C5" t="s">
        <v>17</v>
      </c>
      <c r="D5" t="s">
        <v>18</v>
      </c>
      <c r="E5">
        <v>2</v>
      </c>
      <c r="F5" s="3">
        <v>3000</v>
      </c>
      <c r="G5" s="3">
        <v>3000</v>
      </c>
      <c r="H5" t="s">
        <v>13</v>
      </c>
    </row>
    <row r="6" spans="1:8" x14ac:dyDescent="0.3">
      <c r="A6">
        <v>5</v>
      </c>
      <c r="B6" s="2">
        <v>46064</v>
      </c>
      <c r="C6" t="s">
        <v>19</v>
      </c>
      <c r="D6" t="s">
        <v>9</v>
      </c>
      <c r="E6">
        <v>1</v>
      </c>
      <c r="F6" s="3">
        <v>55000</v>
      </c>
      <c r="G6" s="3">
        <v>55000</v>
      </c>
      <c r="H6" t="s">
        <v>10</v>
      </c>
    </row>
    <row r="7" spans="1:8" x14ac:dyDescent="0.3">
      <c r="A7">
        <v>6</v>
      </c>
      <c r="B7" s="2">
        <v>46073</v>
      </c>
      <c r="C7" t="s">
        <v>20</v>
      </c>
      <c r="D7" t="s">
        <v>21</v>
      </c>
      <c r="E7">
        <v>2</v>
      </c>
      <c r="F7" s="3">
        <v>13000</v>
      </c>
      <c r="G7" s="3">
        <v>13000</v>
      </c>
      <c r="H7" t="s">
        <v>22</v>
      </c>
    </row>
    <row r="8" spans="1:8" x14ac:dyDescent="0.3">
      <c r="A8">
        <v>7</v>
      </c>
      <c r="B8" s="2">
        <v>46085</v>
      </c>
      <c r="C8" t="s">
        <v>23</v>
      </c>
      <c r="D8" t="s">
        <v>12</v>
      </c>
      <c r="E8">
        <v>5</v>
      </c>
      <c r="F8" s="3">
        <v>3500</v>
      </c>
      <c r="G8" s="3">
        <v>3500</v>
      </c>
      <c r="H8" t="s">
        <v>16</v>
      </c>
    </row>
    <row r="9" spans="1:8" x14ac:dyDescent="0.3">
      <c r="A9">
        <v>8</v>
      </c>
      <c r="B9" s="2">
        <v>46099</v>
      </c>
      <c r="C9" t="s">
        <v>24</v>
      </c>
      <c r="D9" t="s">
        <v>25</v>
      </c>
      <c r="E9">
        <v>1</v>
      </c>
      <c r="F9" s="3">
        <v>9000</v>
      </c>
      <c r="G9" s="3">
        <v>9000</v>
      </c>
      <c r="H9" t="s">
        <v>10</v>
      </c>
    </row>
    <row r="10" spans="1:8" x14ac:dyDescent="0.3">
      <c r="A10">
        <v>9</v>
      </c>
      <c r="B10" s="2">
        <v>46106</v>
      </c>
      <c r="C10" t="s">
        <v>8</v>
      </c>
      <c r="D10" t="s">
        <v>15</v>
      </c>
      <c r="E10">
        <v>1</v>
      </c>
      <c r="F10" s="3">
        <v>12000</v>
      </c>
      <c r="G10" s="3">
        <v>12000</v>
      </c>
      <c r="H10" t="s">
        <v>10</v>
      </c>
    </row>
    <row r="11" spans="1:8" x14ac:dyDescent="0.3">
      <c r="A11">
        <v>10</v>
      </c>
      <c r="B11" s="2">
        <v>46121</v>
      </c>
      <c r="C11" t="s">
        <v>17</v>
      </c>
      <c r="D11" t="s">
        <v>21</v>
      </c>
      <c r="E11">
        <v>1</v>
      </c>
      <c r="F11" s="3">
        <v>6500</v>
      </c>
      <c r="G11" s="3">
        <v>6500</v>
      </c>
      <c r="H11" t="s">
        <v>13</v>
      </c>
    </row>
  </sheetData>
  <autoFilter ref="A1:H1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5" width="14" customWidth="1"/>
    <col min="6" max="6" width="16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7</v>
      </c>
      <c r="F1" s="1" t="s">
        <v>30</v>
      </c>
    </row>
    <row r="2" spans="1:6" x14ac:dyDescent="0.3">
      <c r="A2">
        <v>101</v>
      </c>
      <c r="B2" t="s">
        <v>8</v>
      </c>
      <c r="C2" t="s">
        <v>31</v>
      </c>
      <c r="D2" s="3">
        <v>45000</v>
      </c>
      <c r="E2" t="s">
        <v>10</v>
      </c>
      <c r="F2" s="2">
        <v>45306</v>
      </c>
    </row>
    <row r="3" spans="1:6" x14ac:dyDescent="0.3">
      <c r="A3">
        <v>102</v>
      </c>
      <c r="B3" t="s">
        <v>11</v>
      </c>
      <c r="C3" t="s">
        <v>32</v>
      </c>
      <c r="D3" s="3">
        <v>38000</v>
      </c>
      <c r="E3" t="s">
        <v>13</v>
      </c>
      <c r="F3" s="2">
        <v>45148</v>
      </c>
    </row>
    <row r="4" spans="1:6" x14ac:dyDescent="0.3">
      <c r="A4">
        <v>103</v>
      </c>
      <c r="B4" t="s">
        <v>14</v>
      </c>
      <c r="C4" t="s">
        <v>33</v>
      </c>
      <c r="D4" s="3">
        <v>62000</v>
      </c>
      <c r="E4" t="s">
        <v>16</v>
      </c>
      <c r="F4" s="2">
        <v>44701</v>
      </c>
    </row>
    <row r="5" spans="1:6" x14ac:dyDescent="0.3">
      <c r="A5">
        <v>104</v>
      </c>
      <c r="B5" t="s">
        <v>17</v>
      </c>
      <c r="C5" t="s">
        <v>31</v>
      </c>
      <c r="D5" s="3">
        <v>52000</v>
      </c>
      <c r="E5" t="s">
        <v>13</v>
      </c>
      <c r="F5" s="2">
        <v>45363</v>
      </c>
    </row>
    <row r="6" spans="1:6" x14ac:dyDescent="0.3">
      <c r="A6">
        <v>105</v>
      </c>
      <c r="B6" t="s">
        <v>19</v>
      </c>
      <c r="C6" t="s">
        <v>33</v>
      </c>
      <c r="D6" s="3">
        <v>70000</v>
      </c>
      <c r="E6" t="s">
        <v>10</v>
      </c>
      <c r="F6" s="2">
        <v>44501</v>
      </c>
    </row>
    <row r="7" spans="1:6" x14ac:dyDescent="0.3">
      <c r="A7">
        <v>106</v>
      </c>
      <c r="B7" t="s">
        <v>20</v>
      </c>
      <c r="C7" t="s">
        <v>34</v>
      </c>
      <c r="D7" s="3">
        <v>48000</v>
      </c>
      <c r="E7" t="s">
        <v>22</v>
      </c>
      <c r="F7" s="2">
        <v>44975</v>
      </c>
    </row>
    <row r="8" spans="1:6" x14ac:dyDescent="0.3">
      <c r="A8">
        <v>107</v>
      </c>
      <c r="B8" t="s">
        <v>23</v>
      </c>
      <c r="C8" t="s">
        <v>31</v>
      </c>
      <c r="D8" s="3">
        <v>41000</v>
      </c>
      <c r="E8" t="s">
        <v>16</v>
      </c>
      <c r="F8" s="2">
        <v>44809</v>
      </c>
    </row>
    <row r="9" spans="1:6" x14ac:dyDescent="0.3">
      <c r="A9">
        <v>108</v>
      </c>
      <c r="B9" t="s">
        <v>24</v>
      </c>
      <c r="C9" t="s">
        <v>34</v>
      </c>
      <c r="D9" s="3">
        <v>56000</v>
      </c>
      <c r="E9" t="s">
        <v>10</v>
      </c>
      <c r="F9" s="2">
        <v>45468</v>
      </c>
    </row>
  </sheetData>
  <autoFilter ref="A1:F9" xr:uid="{00000000-0009-0000-0000-000002000000}"/>
  <conditionalFormatting sqref="D2:D9">
    <cfRule type="cellIs" dxfId="0" priority="1" operator="greaterThan">
      <formula>50000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3" width="18" customWidth="1"/>
    <col min="4" max="4" width="14" customWidth="1"/>
    <col min="5" max="5" width="12" customWidth="1"/>
  </cols>
  <sheetData>
    <row r="1" spans="1:5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3">
      <c r="A2" t="s">
        <v>40</v>
      </c>
      <c r="B2" t="s">
        <v>9</v>
      </c>
      <c r="C2" t="s">
        <v>41</v>
      </c>
      <c r="D2" s="3">
        <v>55000</v>
      </c>
      <c r="E2">
        <v>5</v>
      </c>
    </row>
    <row r="3" spans="1:5" x14ac:dyDescent="0.3">
      <c r="A3" t="s">
        <v>42</v>
      </c>
      <c r="B3" t="s">
        <v>12</v>
      </c>
      <c r="C3" t="s">
        <v>43</v>
      </c>
      <c r="D3" s="3">
        <v>700</v>
      </c>
      <c r="E3">
        <v>40</v>
      </c>
    </row>
    <row r="4" spans="1:5" x14ac:dyDescent="0.3">
      <c r="A4" t="s">
        <v>44</v>
      </c>
      <c r="B4" t="s">
        <v>18</v>
      </c>
      <c r="C4" t="s">
        <v>43</v>
      </c>
      <c r="D4" s="3">
        <v>1500</v>
      </c>
      <c r="E4">
        <v>25</v>
      </c>
    </row>
    <row r="5" spans="1:5" x14ac:dyDescent="0.3">
      <c r="A5" t="s">
        <v>45</v>
      </c>
      <c r="B5" t="s">
        <v>15</v>
      </c>
      <c r="C5" t="s">
        <v>41</v>
      </c>
      <c r="D5" s="3">
        <v>12000</v>
      </c>
      <c r="E5">
        <v>12</v>
      </c>
    </row>
    <row r="6" spans="1:5" x14ac:dyDescent="0.3">
      <c r="A6" t="s">
        <v>46</v>
      </c>
      <c r="B6" t="s">
        <v>21</v>
      </c>
      <c r="C6" t="s">
        <v>47</v>
      </c>
      <c r="D6" s="3">
        <v>6500</v>
      </c>
      <c r="E6">
        <v>8</v>
      </c>
    </row>
    <row r="7" spans="1:5" x14ac:dyDescent="0.3">
      <c r="A7" t="s">
        <v>48</v>
      </c>
      <c r="B7" t="s">
        <v>25</v>
      </c>
      <c r="C7" t="s">
        <v>47</v>
      </c>
      <c r="D7" s="3">
        <v>9000</v>
      </c>
      <c r="E7">
        <v>4</v>
      </c>
    </row>
  </sheetData>
  <autoFilter ref="A1:E7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22" customWidth="1"/>
    <col min="2" max="2" width="16" customWidth="1"/>
    <col min="3" max="3" width="14" customWidth="1"/>
    <col min="4" max="4" width="18" customWidth="1"/>
    <col min="5" max="5" width="20" customWidth="1"/>
    <col min="6" max="6" width="18" customWidth="1"/>
    <col min="8" max="8" width="16" customWidth="1"/>
    <col min="9" max="9" width="58" customWidth="1"/>
  </cols>
  <sheetData>
    <row r="1" spans="1:9" x14ac:dyDescent="0.3">
      <c r="A1" s="1" t="s">
        <v>27</v>
      </c>
      <c r="B1" s="1" t="s">
        <v>28</v>
      </c>
      <c r="C1" s="1" t="s">
        <v>29</v>
      </c>
      <c r="D1" s="1" t="s">
        <v>49</v>
      </c>
      <c r="E1" s="1" t="s">
        <v>50</v>
      </c>
      <c r="F1" s="1" t="s">
        <v>51</v>
      </c>
      <c r="H1" s="4" t="s">
        <v>52</v>
      </c>
      <c r="I1" s="4" t="s">
        <v>53</v>
      </c>
    </row>
    <row r="2" spans="1:9" x14ac:dyDescent="0.3">
      <c r="A2" t="s">
        <v>8</v>
      </c>
      <c r="B2" t="s">
        <v>31</v>
      </c>
      <c r="C2" s="3">
        <v>45000</v>
      </c>
      <c r="D2" t="str">
        <f t="shared" ref="D2:D9" si="0">IF(C2&gt;=50000,"High","Standard")</f>
        <v>Standard</v>
      </c>
      <c r="E2">
        <f>COUNTIF('Sales Data'!$C$2:$C$11,A2)</f>
        <v>2</v>
      </c>
      <c r="F2" s="3">
        <f>SUMIF('Sales Data'!$C$2:$C$11,A2,'Sales Data'!$G$2:$G$11)</f>
        <v>67000</v>
      </c>
      <c r="H2" t="s">
        <v>54</v>
      </c>
      <c r="I2" s="5" t="s">
        <v>55</v>
      </c>
    </row>
    <row r="3" spans="1:9" x14ac:dyDescent="0.3">
      <c r="A3" t="s">
        <v>11</v>
      </c>
      <c r="B3" t="s">
        <v>32</v>
      </c>
      <c r="C3" s="3">
        <v>38000</v>
      </c>
      <c r="D3" t="str">
        <f t="shared" si="0"/>
        <v>Standard</v>
      </c>
      <c r="E3">
        <f>COUNTIF('Sales Data'!$C$2:$C$11,A3)</f>
        <v>1</v>
      </c>
      <c r="F3" s="3">
        <f>SUMIF('Sales Data'!$C$2:$C$11,A3,'Sales Data'!$G$2:$G$11)</f>
        <v>2100</v>
      </c>
      <c r="H3" t="s">
        <v>56</v>
      </c>
      <c r="I3" s="5" t="s">
        <v>57</v>
      </c>
    </row>
    <row r="4" spans="1:9" x14ac:dyDescent="0.3">
      <c r="A4" t="s">
        <v>14</v>
      </c>
      <c r="B4" t="s">
        <v>33</v>
      </c>
      <c r="C4" s="3">
        <v>62000</v>
      </c>
      <c r="D4" t="str">
        <f t="shared" si="0"/>
        <v>High</v>
      </c>
      <c r="E4">
        <f>COUNTIF('Sales Data'!$C$2:$C$11,A4)</f>
        <v>1</v>
      </c>
      <c r="F4" s="3">
        <f>SUMIF('Sales Data'!$C$2:$C$11,A4,'Sales Data'!$G$2:$G$11)</f>
        <v>24000</v>
      </c>
      <c r="H4" t="s">
        <v>58</v>
      </c>
      <c r="I4" s="5" t="s">
        <v>59</v>
      </c>
    </row>
    <row r="5" spans="1:9" x14ac:dyDescent="0.3">
      <c r="A5" t="s">
        <v>17</v>
      </c>
      <c r="B5" t="s">
        <v>31</v>
      </c>
      <c r="C5" s="3">
        <v>52000</v>
      </c>
      <c r="D5" t="str">
        <f t="shared" si="0"/>
        <v>High</v>
      </c>
      <c r="E5">
        <f>COUNTIF('Sales Data'!$C$2:$C$11,A5)</f>
        <v>2</v>
      </c>
      <c r="F5" s="3">
        <f>SUMIF('Sales Data'!$C$2:$C$11,A5,'Sales Data'!$G$2:$G$11)</f>
        <v>9500</v>
      </c>
    </row>
    <row r="6" spans="1:9" x14ac:dyDescent="0.3">
      <c r="A6" t="s">
        <v>19</v>
      </c>
      <c r="B6" t="s">
        <v>33</v>
      </c>
      <c r="C6" s="3">
        <v>70000</v>
      </c>
      <c r="D6" t="str">
        <f t="shared" si="0"/>
        <v>High</v>
      </c>
      <c r="E6">
        <f>COUNTIF('Sales Data'!$C$2:$C$11,A6)</f>
        <v>1</v>
      </c>
      <c r="F6" s="3">
        <f>SUMIF('Sales Data'!$C$2:$C$11,A6,'Sales Data'!$G$2:$G$11)</f>
        <v>55000</v>
      </c>
    </row>
    <row r="7" spans="1:9" x14ac:dyDescent="0.3">
      <c r="A7" t="s">
        <v>20</v>
      </c>
      <c r="B7" t="s">
        <v>34</v>
      </c>
      <c r="C7" s="3">
        <v>48000</v>
      </c>
      <c r="D7" t="str">
        <f t="shared" si="0"/>
        <v>Standard</v>
      </c>
      <c r="E7">
        <f>COUNTIF('Sales Data'!$C$2:$C$11,A7)</f>
        <v>1</v>
      </c>
      <c r="F7" s="3">
        <f>SUMIF('Sales Data'!$C$2:$C$11,A7,'Sales Data'!$G$2:$G$11)</f>
        <v>13000</v>
      </c>
    </row>
    <row r="8" spans="1:9" x14ac:dyDescent="0.3">
      <c r="A8" t="s">
        <v>23</v>
      </c>
      <c r="B8" t="s">
        <v>31</v>
      </c>
      <c r="C8" s="3">
        <v>41000</v>
      </c>
      <c r="D8" t="str">
        <f t="shared" si="0"/>
        <v>Standard</v>
      </c>
      <c r="E8">
        <f>COUNTIF('Sales Data'!$C$2:$C$11,A8)</f>
        <v>1</v>
      </c>
      <c r="F8" s="3">
        <f>SUMIF('Sales Data'!$C$2:$C$11,A8,'Sales Data'!$G$2:$G$11)</f>
        <v>3500</v>
      </c>
    </row>
    <row r="9" spans="1:9" x14ac:dyDescent="0.3">
      <c r="A9" t="s">
        <v>24</v>
      </c>
      <c r="B9" t="s">
        <v>34</v>
      </c>
      <c r="C9" s="3">
        <v>56000</v>
      </c>
      <c r="D9" t="str">
        <f t="shared" si="0"/>
        <v>High</v>
      </c>
      <c r="E9">
        <f>COUNTIF('Sales Data'!$C$2:$C$11,A9)</f>
        <v>1</v>
      </c>
      <c r="F9" s="3">
        <f>SUMIF('Sales Data'!$C$2:$C$11,A9,'Sales Data'!$G$2:$G$11)</f>
        <v>9000</v>
      </c>
    </row>
    <row r="14" spans="1:9" x14ac:dyDescent="0.3">
      <c r="A14" t="s">
        <v>52</v>
      </c>
      <c r="B14" t="s">
        <v>60</v>
      </c>
      <c r="C14" t="s">
        <v>61</v>
      </c>
    </row>
    <row r="15" spans="1:9" x14ac:dyDescent="0.3">
      <c r="A15" t="s">
        <v>54</v>
      </c>
      <c r="B15" t="s">
        <v>62</v>
      </c>
      <c r="C15" t="str">
        <f>IF(C2&gt;=20000,"Good","Average")</f>
        <v>Good</v>
      </c>
    </row>
    <row r="16" spans="1:9" x14ac:dyDescent="0.3">
      <c r="A16" t="s">
        <v>56</v>
      </c>
      <c r="B16" t="s">
        <v>63</v>
      </c>
      <c r="C16">
        <f>COUNTIF(B2:B6,"IT")</f>
        <v>2</v>
      </c>
    </row>
    <row r="17" spans="1:3" x14ac:dyDescent="0.3">
      <c r="A17" t="s">
        <v>58</v>
      </c>
      <c r="B17" t="s">
        <v>64</v>
      </c>
      <c r="C17">
        <f>SUMIF(B2:B6,"IT",C2:C6)</f>
        <v>132000</v>
      </c>
    </row>
  </sheetData>
  <autoFilter ref="A1:F9" xr:uid="{00000000-0009-0000-0000-000004000000}"/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22B5-9ADF-43CA-B3CC-DCDA967296BD}">
  <dimension ref="A1:L21"/>
  <sheetViews>
    <sheetView workbookViewId="0">
      <selection sqref="A1:D21"/>
    </sheetView>
  </sheetViews>
  <sheetFormatPr defaultRowHeight="14.4" x14ac:dyDescent="0.3"/>
  <cols>
    <col min="1" max="1" width="14.33203125" customWidth="1"/>
    <col min="2" max="2" width="20.109375" customWidth="1"/>
    <col min="3" max="3" width="29.77734375" customWidth="1"/>
    <col min="9" max="9" width="11.44140625" customWidth="1"/>
    <col min="10" max="10" width="14" customWidth="1"/>
  </cols>
  <sheetData>
    <row r="1" spans="1:12" ht="28.8" x14ac:dyDescent="0.3">
      <c r="A1" s="6" t="s">
        <v>26</v>
      </c>
      <c r="B1" s="6" t="s">
        <v>27</v>
      </c>
      <c r="C1" s="6" t="s">
        <v>28</v>
      </c>
      <c r="D1" s="6" t="s">
        <v>29</v>
      </c>
    </row>
    <row r="2" spans="1:12" x14ac:dyDescent="0.3">
      <c r="A2" s="7" t="s">
        <v>72</v>
      </c>
      <c r="B2" s="7" t="s">
        <v>65</v>
      </c>
      <c r="C2" s="7" t="s">
        <v>33</v>
      </c>
      <c r="D2" s="7">
        <v>35000</v>
      </c>
    </row>
    <row r="3" spans="1:12" x14ac:dyDescent="0.3">
      <c r="A3" s="7" t="s">
        <v>73</v>
      </c>
      <c r="B3" s="7" t="s">
        <v>66</v>
      </c>
      <c r="C3" s="7" t="s">
        <v>32</v>
      </c>
      <c r="D3" s="7">
        <v>28000</v>
      </c>
    </row>
    <row r="4" spans="1:12" x14ac:dyDescent="0.3">
      <c r="A4" s="7" t="s">
        <v>74</v>
      </c>
      <c r="B4" s="7" t="s">
        <v>67</v>
      </c>
      <c r="C4" s="7" t="s">
        <v>31</v>
      </c>
      <c r="D4" s="7">
        <v>32000</v>
      </c>
    </row>
    <row r="5" spans="1:12" x14ac:dyDescent="0.3">
      <c r="A5" s="7" t="s">
        <v>75</v>
      </c>
      <c r="B5" s="7" t="s">
        <v>68</v>
      </c>
      <c r="C5" s="7" t="s">
        <v>34</v>
      </c>
      <c r="D5" s="7">
        <v>40000</v>
      </c>
    </row>
    <row r="6" spans="1:12" x14ac:dyDescent="0.3">
      <c r="A6" s="7" t="s">
        <v>76</v>
      </c>
      <c r="B6" s="7" t="s">
        <v>69</v>
      </c>
      <c r="C6" s="7" t="s">
        <v>33</v>
      </c>
      <c r="D6" s="7">
        <v>45000</v>
      </c>
    </row>
    <row r="7" spans="1:12" x14ac:dyDescent="0.3">
      <c r="A7" s="7" t="s">
        <v>77</v>
      </c>
      <c r="B7" s="7" t="s">
        <v>70</v>
      </c>
      <c r="C7" s="7" t="s">
        <v>71</v>
      </c>
      <c r="D7" s="7">
        <v>30000</v>
      </c>
    </row>
    <row r="8" spans="1:12" x14ac:dyDescent="0.3">
      <c r="A8" s="7" t="s">
        <v>78</v>
      </c>
      <c r="B8" s="7" t="s">
        <v>79</v>
      </c>
      <c r="C8" s="7" t="s">
        <v>31</v>
      </c>
      <c r="D8" s="7">
        <v>27000</v>
      </c>
      <c r="I8" s="8" t="s">
        <v>109</v>
      </c>
    </row>
    <row r="9" spans="1:12" x14ac:dyDescent="0.3">
      <c r="A9" s="7" t="s">
        <v>80</v>
      </c>
      <c r="B9" s="7" t="s">
        <v>81</v>
      </c>
      <c r="C9" s="7" t="s">
        <v>32</v>
      </c>
      <c r="D9" s="7">
        <v>31000</v>
      </c>
      <c r="I9" s="8" t="s">
        <v>106</v>
      </c>
      <c r="J9" s="8" t="s">
        <v>107</v>
      </c>
      <c r="K9" s="8" t="s">
        <v>108</v>
      </c>
      <c r="L9" s="8" t="s">
        <v>29</v>
      </c>
    </row>
    <row r="10" spans="1:12" x14ac:dyDescent="0.3">
      <c r="A10" s="7" t="s">
        <v>82</v>
      </c>
      <c r="B10" s="7" t="s">
        <v>83</v>
      </c>
      <c r="C10" s="7" t="s">
        <v>33</v>
      </c>
      <c r="D10" s="7">
        <v>50000</v>
      </c>
      <c r="I10" t="s">
        <v>75</v>
      </c>
      <c r="J10" t="str">
        <f>VLOOKUP(I10,A2:D21,2,FALSE)</f>
        <v>Neha</v>
      </c>
      <c r="K10" t="str">
        <f t="shared" ref="K10:N10" si="0">VLOOKUP(J10,B2:E21,2,FALSE)</f>
        <v>Finance</v>
      </c>
      <c r="L10">
        <f t="shared" si="0"/>
        <v>40000</v>
      </c>
    </row>
    <row r="11" spans="1:12" x14ac:dyDescent="0.3">
      <c r="A11" s="7" t="s">
        <v>84</v>
      </c>
      <c r="B11" s="7" t="s">
        <v>85</v>
      </c>
      <c r="C11" s="7" t="s">
        <v>34</v>
      </c>
      <c r="D11" s="7">
        <v>42000</v>
      </c>
    </row>
    <row r="12" spans="1:12" x14ac:dyDescent="0.3">
      <c r="A12" s="7" t="s">
        <v>86</v>
      </c>
      <c r="B12" s="7" t="s">
        <v>87</v>
      </c>
      <c r="C12" s="7" t="s">
        <v>71</v>
      </c>
      <c r="D12" s="7">
        <v>29000</v>
      </c>
      <c r="I12" s="8" t="s">
        <v>110</v>
      </c>
    </row>
    <row r="13" spans="1:12" x14ac:dyDescent="0.3">
      <c r="A13" s="7" t="s">
        <v>88</v>
      </c>
      <c r="B13" s="7" t="s">
        <v>89</v>
      </c>
      <c r="C13" s="7" t="s">
        <v>31</v>
      </c>
      <c r="D13" s="7">
        <v>36000</v>
      </c>
      <c r="I13" s="8" t="s">
        <v>106</v>
      </c>
      <c r="J13" t="s">
        <v>88</v>
      </c>
    </row>
    <row r="14" spans="1:12" x14ac:dyDescent="0.3">
      <c r="A14" s="7" t="s">
        <v>90</v>
      </c>
      <c r="B14" s="7" t="s">
        <v>91</v>
      </c>
      <c r="C14" s="7" t="s">
        <v>33</v>
      </c>
      <c r="D14" s="7">
        <v>48000</v>
      </c>
      <c r="I14" s="8" t="s">
        <v>107</v>
      </c>
      <c r="J14" t="str">
        <f>_xlfn.XLOOKUP(J13,$A$2:$A$21,$B$2:$B$21,"Not Found")</f>
        <v>Sneha</v>
      </c>
    </row>
    <row r="15" spans="1:12" x14ac:dyDescent="0.3">
      <c r="A15" s="7" t="s">
        <v>92</v>
      </c>
      <c r="B15" s="7" t="s">
        <v>93</v>
      </c>
      <c r="C15" s="7" t="s">
        <v>32</v>
      </c>
      <c r="D15" s="7">
        <v>26000</v>
      </c>
      <c r="I15" s="8" t="s">
        <v>108</v>
      </c>
      <c r="J15" t="str">
        <f>_xlfn.XLOOKUP(J13,$A$2:$A$21,$C$2:$C$21,"Not Found")</f>
        <v>Sales</v>
      </c>
    </row>
    <row r="16" spans="1:12" x14ac:dyDescent="0.3">
      <c r="A16" s="7" t="s">
        <v>94</v>
      </c>
      <c r="B16" s="7" t="s">
        <v>95</v>
      </c>
      <c r="C16" s="7" t="s">
        <v>34</v>
      </c>
      <c r="D16" s="7">
        <v>39000</v>
      </c>
      <c r="I16" s="8" t="s">
        <v>29</v>
      </c>
      <c r="J16">
        <f>_xlfn.XLOOKUP(J13,$A$2:$A$21,$D$2:$D$21,"Not Found")</f>
        <v>36000</v>
      </c>
    </row>
    <row r="17" spans="1:4" x14ac:dyDescent="0.3">
      <c r="A17" s="7" t="s">
        <v>96</v>
      </c>
      <c r="B17" s="7" t="s">
        <v>97</v>
      </c>
      <c r="C17" s="7" t="s">
        <v>71</v>
      </c>
      <c r="D17" s="7">
        <v>33000</v>
      </c>
    </row>
    <row r="18" spans="1:4" x14ac:dyDescent="0.3">
      <c r="A18" s="7" t="s">
        <v>98</v>
      </c>
      <c r="B18" s="7" t="s">
        <v>99</v>
      </c>
      <c r="C18" s="7" t="s">
        <v>31</v>
      </c>
      <c r="D18" s="7">
        <v>37000</v>
      </c>
    </row>
    <row r="19" spans="1:4" x14ac:dyDescent="0.3">
      <c r="A19" s="7" t="s">
        <v>100</v>
      </c>
      <c r="B19" s="7" t="s">
        <v>101</v>
      </c>
      <c r="C19" s="7" t="s">
        <v>33</v>
      </c>
      <c r="D19" s="7">
        <v>52000</v>
      </c>
    </row>
    <row r="20" spans="1:4" x14ac:dyDescent="0.3">
      <c r="A20" s="7" t="s">
        <v>102</v>
      </c>
      <c r="B20" s="7" t="s">
        <v>103</v>
      </c>
      <c r="C20" s="7" t="s">
        <v>34</v>
      </c>
      <c r="D20" s="7">
        <v>41000</v>
      </c>
    </row>
    <row r="21" spans="1:4" x14ac:dyDescent="0.3">
      <c r="A21" s="7" t="s">
        <v>104</v>
      </c>
      <c r="B21" s="7" t="s">
        <v>105</v>
      </c>
      <c r="C21" s="7" t="s">
        <v>32</v>
      </c>
      <c r="D21" s="7">
        <v>29500</v>
      </c>
    </row>
  </sheetData>
  <dataValidations count="1">
    <dataValidation type="list" allowBlank="1" showInputMessage="1" showErrorMessage="1" sqref="I10 J13" xr:uid="{259C1009-78E7-4B82-A07B-8DEEE61DBCD2}">
      <formula1>$A$2:$A$21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5E55-4826-4CAD-B96A-8E2F73D98653}">
  <dimension ref="A1:L21"/>
  <sheetViews>
    <sheetView topLeftCell="H1" workbookViewId="0">
      <selection activeCell="Q1" sqref="Q1"/>
    </sheetView>
  </sheetViews>
  <sheetFormatPr defaultRowHeight="14.4" x14ac:dyDescent="0.3"/>
  <cols>
    <col min="1" max="1" width="12.6640625" customWidth="1"/>
    <col min="2" max="2" width="15.88671875" customWidth="1"/>
    <col min="3" max="3" width="13.88671875" customWidth="1"/>
    <col min="11" max="12" width="12.5546875" bestFit="1" customWidth="1"/>
  </cols>
  <sheetData>
    <row r="1" spans="1:12" ht="28.8" x14ac:dyDescent="0.3">
      <c r="A1" s="6" t="s">
        <v>26</v>
      </c>
      <c r="B1" s="6" t="s">
        <v>27</v>
      </c>
      <c r="C1" s="6" t="s">
        <v>28</v>
      </c>
      <c r="D1" s="6" t="s">
        <v>29</v>
      </c>
    </row>
    <row r="2" spans="1:12" x14ac:dyDescent="0.3">
      <c r="A2" s="7" t="s">
        <v>72</v>
      </c>
      <c r="B2" s="7" t="s">
        <v>65</v>
      </c>
      <c r="C2" s="7" t="s">
        <v>33</v>
      </c>
      <c r="D2" s="7">
        <v>35000</v>
      </c>
    </row>
    <row r="3" spans="1:12" x14ac:dyDescent="0.3">
      <c r="A3" s="7" t="s">
        <v>73</v>
      </c>
      <c r="B3" s="7" t="s">
        <v>66</v>
      </c>
      <c r="C3" s="7" t="s">
        <v>32</v>
      </c>
      <c r="D3" s="7">
        <v>28000</v>
      </c>
    </row>
    <row r="4" spans="1:12" x14ac:dyDescent="0.3">
      <c r="A4" s="7" t="s">
        <v>74</v>
      </c>
      <c r="B4" s="7" t="s">
        <v>67</v>
      </c>
      <c r="C4" s="7" t="s">
        <v>31</v>
      </c>
      <c r="D4" s="7">
        <v>32000</v>
      </c>
    </row>
    <row r="5" spans="1:12" x14ac:dyDescent="0.3">
      <c r="A5" s="7" t="s">
        <v>75</v>
      </c>
      <c r="B5" s="7" t="s">
        <v>68</v>
      </c>
      <c r="C5" s="7" t="s">
        <v>34</v>
      </c>
      <c r="D5" s="7">
        <v>40000</v>
      </c>
    </row>
    <row r="6" spans="1:12" x14ac:dyDescent="0.3">
      <c r="A6" s="7" t="s">
        <v>76</v>
      </c>
      <c r="B6" s="7" t="s">
        <v>69</v>
      </c>
      <c r="C6" s="7" t="s">
        <v>33</v>
      </c>
      <c r="D6" s="7">
        <v>45000</v>
      </c>
      <c r="K6" s="9" t="s">
        <v>111</v>
      </c>
      <c r="L6" t="s">
        <v>113</v>
      </c>
    </row>
    <row r="7" spans="1:12" ht="16.8" customHeight="1" x14ac:dyDescent="0.3">
      <c r="A7" s="7" t="s">
        <v>77</v>
      </c>
      <c r="B7" s="7" t="s">
        <v>70</v>
      </c>
      <c r="C7" s="7" t="s">
        <v>71</v>
      </c>
      <c r="D7" s="7">
        <v>30000</v>
      </c>
      <c r="K7" s="10" t="s">
        <v>34</v>
      </c>
      <c r="L7" s="11">
        <v>162000</v>
      </c>
    </row>
    <row r="8" spans="1:12" x14ac:dyDescent="0.3">
      <c r="A8" s="7" t="s">
        <v>78</v>
      </c>
      <c r="B8" s="7" t="s">
        <v>79</v>
      </c>
      <c r="C8" s="7" t="s">
        <v>31</v>
      </c>
      <c r="D8" s="7">
        <v>27000</v>
      </c>
      <c r="K8" s="10" t="s">
        <v>32</v>
      </c>
      <c r="L8" s="11">
        <v>114500</v>
      </c>
    </row>
    <row r="9" spans="1:12" x14ac:dyDescent="0.3">
      <c r="A9" s="7" t="s">
        <v>80</v>
      </c>
      <c r="B9" s="7" t="s">
        <v>81</v>
      </c>
      <c r="C9" s="7" t="s">
        <v>32</v>
      </c>
      <c r="D9" s="7">
        <v>31000</v>
      </c>
      <c r="K9" s="10" t="s">
        <v>33</v>
      </c>
      <c r="L9" s="11">
        <v>230000</v>
      </c>
    </row>
    <row r="10" spans="1:12" x14ac:dyDescent="0.3">
      <c r="A10" s="7" t="s">
        <v>82</v>
      </c>
      <c r="B10" s="7" t="s">
        <v>83</v>
      </c>
      <c r="C10" s="7" t="s">
        <v>33</v>
      </c>
      <c r="D10" s="7">
        <v>50000</v>
      </c>
      <c r="K10" s="10" t="s">
        <v>71</v>
      </c>
      <c r="L10" s="11">
        <v>92000</v>
      </c>
    </row>
    <row r="11" spans="1:12" x14ac:dyDescent="0.3">
      <c r="A11" s="7" t="s">
        <v>84</v>
      </c>
      <c r="B11" s="7" t="s">
        <v>85</v>
      </c>
      <c r="C11" s="7" t="s">
        <v>34</v>
      </c>
      <c r="D11" s="7">
        <v>42000</v>
      </c>
      <c r="K11" s="10" t="s">
        <v>31</v>
      </c>
      <c r="L11" s="11">
        <v>132000</v>
      </c>
    </row>
    <row r="12" spans="1:12" ht="19.8" customHeight="1" x14ac:dyDescent="0.3">
      <c r="A12" s="7" t="s">
        <v>86</v>
      </c>
      <c r="B12" s="7" t="s">
        <v>87</v>
      </c>
      <c r="C12" s="7" t="s">
        <v>71</v>
      </c>
      <c r="D12" s="7">
        <v>29000</v>
      </c>
      <c r="K12" s="10" t="s">
        <v>112</v>
      </c>
      <c r="L12" s="11">
        <v>730500</v>
      </c>
    </row>
    <row r="13" spans="1:12" x14ac:dyDescent="0.3">
      <c r="A13" s="7" t="s">
        <v>88</v>
      </c>
      <c r="B13" s="7" t="s">
        <v>89</v>
      </c>
      <c r="C13" s="7" t="s">
        <v>31</v>
      </c>
      <c r="D13" s="7">
        <v>36000</v>
      </c>
    </row>
    <row r="14" spans="1:12" x14ac:dyDescent="0.3">
      <c r="A14" s="7" t="s">
        <v>90</v>
      </c>
      <c r="B14" s="7" t="s">
        <v>91</v>
      </c>
      <c r="C14" s="7" t="s">
        <v>33</v>
      </c>
      <c r="D14" s="7">
        <v>48000</v>
      </c>
    </row>
    <row r="15" spans="1:12" x14ac:dyDescent="0.3">
      <c r="A15" s="7" t="s">
        <v>92</v>
      </c>
      <c r="B15" s="7" t="s">
        <v>93</v>
      </c>
      <c r="C15" s="7" t="s">
        <v>32</v>
      </c>
      <c r="D15" s="7">
        <v>26000</v>
      </c>
    </row>
    <row r="16" spans="1:12" x14ac:dyDescent="0.3">
      <c r="A16" s="7" t="s">
        <v>94</v>
      </c>
      <c r="B16" s="7" t="s">
        <v>95</v>
      </c>
      <c r="C16" s="7" t="s">
        <v>34</v>
      </c>
      <c r="D16" s="7">
        <v>39000</v>
      </c>
    </row>
    <row r="17" spans="1:4" ht="18" customHeight="1" x14ac:dyDescent="0.3">
      <c r="A17" s="7" t="s">
        <v>96</v>
      </c>
      <c r="B17" s="7" t="s">
        <v>97</v>
      </c>
      <c r="C17" s="7" t="s">
        <v>71</v>
      </c>
      <c r="D17" s="7">
        <v>33000</v>
      </c>
    </row>
    <row r="18" spans="1:4" x14ac:dyDescent="0.3">
      <c r="A18" s="7" t="s">
        <v>98</v>
      </c>
      <c r="B18" s="7" t="s">
        <v>99</v>
      </c>
      <c r="C18" s="7" t="s">
        <v>31</v>
      </c>
      <c r="D18" s="7">
        <v>37000</v>
      </c>
    </row>
    <row r="19" spans="1:4" x14ac:dyDescent="0.3">
      <c r="A19" s="7" t="s">
        <v>100</v>
      </c>
      <c r="B19" s="7" t="s">
        <v>101</v>
      </c>
      <c r="C19" s="7" t="s">
        <v>33</v>
      </c>
      <c r="D19" s="7">
        <v>52000</v>
      </c>
    </row>
    <row r="20" spans="1:4" x14ac:dyDescent="0.3">
      <c r="A20" s="7" t="s">
        <v>102</v>
      </c>
      <c r="B20" s="7" t="s">
        <v>103</v>
      </c>
      <c r="C20" s="7" t="s">
        <v>34</v>
      </c>
      <c r="D20" s="7">
        <v>41000</v>
      </c>
    </row>
    <row r="21" spans="1:4" x14ac:dyDescent="0.3">
      <c r="A21" s="7" t="s">
        <v>104</v>
      </c>
      <c r="B21" s="7" t="s">
        <v>105</v>
      </c>
      <c r="C21" s="7" t="s">
        <v>32</v>
      </c>
      <c r="D21" s="7">
        <v>29500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Employees</vt:lpstr>
      <vt:lpstr>Task 6</vt:lpstr>
      <vt:lpstr>Task 7</vt:lpstr>
      <vt:lpstr>Task 8</vt:lpstr>
      <vt:lpstr>Task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saini</cp:lastModifiedBy>
  <dcterms:created xsi:type="dcterms:W3CDTF">2026-10-26T02:22:45Z</dcterms:created>
  <dcterms:modified xsi:type="dcterms:W3CDTF">2026-10-26T03:32:16Z</dcterms:modified>
</cp:coreProperties>
</file>